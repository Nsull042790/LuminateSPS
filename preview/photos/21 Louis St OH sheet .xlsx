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americanmortgag-my.sharepoint.com/personal/isolina_fernandez-kirchner_luminate_bank/Documents/"/>
    </mc:Choice>
  </mc:AlternateContent>
  <xr:revisionPtr revIDLastSave="0" documentId="8_{0ACE3A57-CF9C-4178-B173-E05CF3F18AC4}" xr6:coauthVersionLast="47" xr6:coauthVersionMax="47" xr10:uidLastSave="{00000000-0000-0000-0000-000000000000}"/>
  <bookViews>
    <workbookView xWindow="684" yWindow="1080" windowWidth="21600" windowHeight="11232" xr2:uid="{00000000-000D-0000-FFFF-FFFF00000000}"/>
  </bookViews>
  <sheets>
    <sheet name="Sheet1" sheetId="1" r:id="rId1"/>
    <sheet name="Sheet2" sheetId="2" r:id="rId2"/>
    <sheet name="Sheet3" sheetId="3" r:id="rId3"/>
  </sheets>
  <definedNames>
    <definedName name="_xlnm.Print_Area" localSheetId="0">Sheet1!$A$1:$N$48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41" i="1" l="1"/>
  <c r="Q42" i="1" l="1"/>
  <c r="D30" i="1" l="1"/>
  <c r="D32" i="1" s="1"/>
  <c r="S11" i="1" l="1"/>
  <c r="D33" i="1"/>
  <c r="I30" i="1"/>
  <c r="N30" i="1"/>
  <c r="N32" i="1" s="1"/>
  <c r="N33" i="1" s="1"/>
  <c r="I39" i="1"/>
  <c r="N39" i="1"/>
  <c r="I40" i="1"/>
  <c r="N40" i="1"/>
  <c r="I41" i="1"/>
  <c r="N41" i="1"/>
  <c r="B43" i="1"/>
  <c r="T18" i="1"/>
  <c r="T19" i="1"/>
  <c r="T20" i="1"/>
  <c r="T21" i="1"/>
  <c r="T22" i="1"/>
  <c r="T23" i="1"/>
  <c r="T24" i="1"/>
  <c r="T17" i="1"/>
  <c r="T9" i="1"/>
  <c r="T10" i="1"/>
  <c r="T11" i="1"/>
  <c r="T12" i="1"/>
  <c r="T13" i="1"/>
  <c r="T14" i="1"/>
  <c r="T15" i="1"/>
  <c r="T8" i="1"/>
  <c r="S18" i="1"/>
  <c r="S19" i="1"/>
  <c r="S20" i="1"/>
  <c r="S21" i="1"/>
  <c r="S22" i="1"/>
  <c r="S23" i="1"/>
  <c r="S24" i="1"/>
  <c r="S17" i="1"/>
  <c r="S9" i="1"/>
  <c r="S10" i="1"/>
  <c r="S12" i="1"/>
  <c r="S13" i="1"/>
  <c r="S14" i="1"/>
  <c r="S15" i="1"/>
  <c r="S8" i="1"/>
  <c r="T16" i="1"/>
  <c r="S16" i="1"/>
  <c r="R16" i="1"/>
  <c r="R25" i="1" s="1"/>
  <c r="D37" i="1" l="1"/>
  <c r="D35" i="1" s="1"/>
  <c r="N37" i="1"/>
  <c r="N42" i="1" s="1"/>
  <c r="I32" i="1"/>
  <c r="I33" i="1" s="1"/>
  <c r="S25" i="1"/>
  <c r="T25" i="1"/>
  <c r="D42" i="1" l="1"/>
  <c r="N35" i="1"/>
  <c r="I37" i="1"/>
  <c r="I42" i="1" s="1"/>
  <c r="I35" i="1" l="1"/>
</calcChain>
</file>

<file path=xl/sharedStrings.xml><?xml version="1.0" encoding="utf-8"?>
<sst xmlns="http://schemas.openxmlformats.org/spreadsheetml/2006/main" count="70" uniqueCount="38">
  <si>
    <r>
      <rPr>
        <sz val="8"/>
        <color indexed="8"/>
        <rFont val="Calibri"/>
        <family val="2"/>
      </rPr>
      <t xml:space="preserve">This information is intended for mortgage and real estate professional use only and is not an advertisement to extend customer credit as 
defined by Section 226.2 Regulation Z. Program rates, terms and conditions are subject to change at any time. The APR may be greater than 
the rate set forth above.
NJ Lenders Corp. is a Licensed Mortgage Banker, States of NJ, NY, CT, MD, PA and VA Banking Departments, NMLS #35286
Equal Housing Lender. </t>
    </r>
    <r>
      <rPr>
        <sz val="11"/>
        <color theme="1"/>
        <rFont val="Calibri"/>
        <family val="2"/>
        <scheme val="minor"/>
      </rPr>
      <t xml:space="preserve"> </t>
    </r>
  </si>
  <si>
    <t>List Price</t>
  </si>
  <si>
    <t>Down Payment</t>
  </si>
  <si>
    <t>Mortgage</t>
  </si>
  <si>
    <t>Interest Rate</t>
  </si>
  <si>
    <t>APR</t>
  </si>
  <si>
    <t>Years</t>
  </si>
  <si>
    <t>Taxes (est)</t>
  </si>
  <si>
    <t>Total Payment</t>
  </si>
  <si>
    <t>Principal &amp; Int</t>
  </si>
  <si>
    <t>appraisal</t>
  </si>
  <si>
    <t>credit</t>
  </si>
  <si>
    <t>commitment</t>
  </si>
  <si>
    <t>tax service</t>
  </si>
  <si>
    <t>flood cert</t>
  </si>
  <si>
    <t>Lenders Attorney (NY)</t>
  </si>
  <si>
    <t>Per Diem (15 days)</t>
  </si>
  <si>
    <t>Closing Agent Fee</t>
  </si>
  <si>
    <t>Borrower's Attorney</t>
  </si>
  <si>
    <t>Total APR Fees</t>
  </si>
  <si>
    <t>Other Fee</t>
  </si>
  <si>
    <t>Origination Points (%)</t>
  </si>
  <si>
    <t>Discount Points (%)</t>
  </si>
  <si>
    <t>Rate Date</t>
  </si>
  <si>
    <t>Association Dues</t>
  </si>
  <si>
    <t>APR Fees #1</t>
  </si>
  <si>
    <t>APR Fees #2</t>
  </si>
  <si>
    <t>APR Fees #3</t>
  </si>
  <si>
    <t xml:space="preserve"> List Price:   </t>
  </si>
  <si>
    <t>PMI (est)</t>
  </si>
  <si>
    <t>Insurance (est)</t>
  </si>
  <si>
    <t>OHF WORKSHEET FOR PROGRAMS</t>
  </si>
  <si>
    <t>30 Year Fixed-20% Down</t>
  </si>
  <si>
    <t xml:space="preserve">15 Year Fixed  20% Down </t>
  </si>
  <si>
    <t>per Jason 12/26/24</t>
  </si>
  <si>
    <t>per Jason 1/29/25</t>
  </si>
  <si>
    <t xml:space="preserve">21 Louis St West Milford </t>
  </si>
  <si>
    <t>30 Year Fixed-3.5% Down FHA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</si>
</sst>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8" formatCode="&quot;$&quot;#,##0.00_);[Red]\(&quot;$&quot;#,##0.00\)"/>
    <numFmt numFmtId="44" formatCode="_(&quot;$&quot;* #,##0.00_);_(&quot;$&quot;* \(#,##0.00\);_(&quot;$&quot;* &quot;-&quot;??_);_(@_)"/>
    <numFmt numFmtId="43" formatCode="_(* #,##0.00_);_(* \(#,##0.00\);_(* &quot;-&quot;??_);_(@_)"/>
    <numFmt numFmtId="164" formatCode="0.000%"/>
  </numFmts>
  <fonts count="29" x14ac:knownFonts="1">
    <font>
      <sz val="11"/>
      <color theme="1"/>
      <name val="Calibri"/>
      <family val="2"/>
      <scheme val="minor"/>
    </font>
    <font>
      <sz val="8"/>
      <color indexed="8"/>
      <name val="Calibri"/>
      <family val="2"/>
    </font>
    <font>
      <b/>
      <sz val="18"/>
      <color indexed="8"/>
      <name val="Calisto MT"/>
      <family val="1"/>
    </font>
    <font>
      <sz val="11"/>
      <color theme="1"/>
      <name val="Calibri"/>
      <family val="2"/>
      <scheme val="minor"/>
    </font>
    <font>
      <u/>
      <sz val="11"/>
      <color theme="10"/>
      <name val="Calibri"/>
      <family val="2"/>
    </font>
    <font>
      <b/>
      <sz val="11"/>
      <color theme="1"/>
      <name val="Calibri"/>
      <family val="2"/>
      <scheme val="minor"/>
    </font>
    <font>
      <b/>
      <sz val="18"/>
      <color theme="1"/>
      <name val="Calibri"/>
      <family val="2"/>
      <scheme val="minor"/>
    </font>
    <font>
      <sz val="11"/>
      <color theme="1"/>
      <name val="Calisto MT"/>
      <family val="1"/>
    </font>
    <font>
      <sz val="9"/>
      <color rgb="FF000000"/>
      <name val="Arial"/>
      <family val="2"/>
    </font>
    <font>
      <b/>
      <sz val="10"/>
      <color rgb="FFFFFFFF"/>
      <name val="Arial"/>
      <family val="2"/>
    </font>
    <font>
      <sz val="9"/>
      <color theme="1"/>
      <name val="Arial Narrow"/>
      <family val="2"/>
    </font>
    <font>
      <b/>
      <sz val="9"/>
      <color theme="1"/>
      <name val="Calisto MT"/>
      <family val="1"/>
    </font>
    <font>
      <b/>
      <sz val="9"/>
      <color theme="1"/>
      <name val="Calibri"/>
      <family val="2"/>
      <scheme val="minor"/>
    </font>
    <font>
      <sz val="9"/>
      <color theme="1"/>
      <name val="Calibri"/>
      <family val="2"/>
      <scheme val="minor"/>
    </font>
    <font>
      <sz val="9"/>
      <color theme="1"/>
      <name val="Calisto MT"/>
      <family val="1"/>
    </font>
    <font>
      <sz val="9"/>
      <color theme="0"/>
      <name val="Calibri"/>
      <family val="2"/>
      <scheme val="minor"/>
    </font>
    <font>
      <b/>
      <sz val="22"/>
      <color theme="1"/>
      <name val="Calisto MT"/>
      <family val="1"/>
    </font>
    <font>
      <b/>
      <sz val="16"/>
      <color theme="1"/>
      <name val="Calisto MT"/>
      <family val="1"/>
    </font>
    <font>
      <b/>
      <sz val="9"/>
      <color theme="1"/>
      <name val="Arial Narrow"/>
      <family val="2"/>
    </font>
    <font>
      <b/>
      <sz val="21"/>
      <color theme="1"/>
      <name val="Calisto MT"/>
      <family val="1"/>
    </font>
    <font>
      <sz val="7"/>
      <color theme="1"/>
      <name val="Calibri"/>
      <family val="2"/>
      <scheme val="minor"/>
    </font>
    <font>
      <b/>
      <sz val="20"/>
      <color rgb="FF214B9E"/>
      <name val="Arial"/>
      <family val="2"/>
    </font>
    <font>
      <sz val="20"/>
      <color theme="1"/>
      <name val="Calibri"/>
      <family val="2"/>
      <scheme val="minor"/>
    </font>
    <font>
      <sz val="9"/>
      <color rgb="FFFF0000"/>
      <name val="Arial Narrow"/>
      <family val="2"/>
    </font>
    <font>
      <u/>
      <sz val="8"/>
      <color theme="10"/>
      <name val="Calibri"/>
      <family val="2"/>
    </font>
    <font>
      <sz val="8"/>
      <color theme="1"/>
      <name val="Calibri"/>
      <family val="2"/>
      <scheme val="minor"/>
    </font>
    <font>
      <sz val="11"/>
      <color rgb="FF333333"/>
      <name val="Tahoma"/>
      <family val="2"/>
    </font>
    <font>
      <sz val="10.5"/>
      <color theme="0"/>
      <name val="Calisto MT"/>
      <family val="1"/>
    </font>
    <font>
      <b/>
      <sz val="11"/>
      <color theme="1"/>
      <name val="Calisto MT"/>
      <family val="1"/>
    </font>
  </fonts>
  <fills count="5">
    <fill>
      <patternFill patternType="none"/>
    </fill>
    <fill>
      <patternFill patternType="gray125"/>
    </fill>
    <fill>
      <patternFill patternType="solid">
        <fgColor rgb="FF002060"/>
        <bgColor indexed="64"/>
      </patternFill>
    </fill>
    <fill>
      <patternFill patternType="solid">
        <fgColor theme="0" tint="-0.14999847407452621"/>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4">
    <xf numFmtId="0" fontId="0" fillId="0" borderId="0"/>
    <xf numFmtId="43" fontId="3" fillId="0" borderId="0" applyFont="0" applyFill="0" applyBorder="0" applyAlignment="0" applyProtection="0"/>
    <xf numFmtId="44" fontId="3" fillId="0" borderId="0" applyFont="0" applyFill="0" applyBorder="0" applyAlignment="0" applyProtection="0"/>
    <xf numFmtId="0" fontId="4" fillId="0" borderId="0" applyNumberFormat="0" applyFill="0" applyBorder="0" applyAlignment="0" applyProtection="0">
      <alignment vertical="top"/>
      <protection locked="0"/>
    </xf>
  </cellStyleXfs>
  <cellXfs count="85">
    <xf numFmtId="0" fontId="0" fillId="0" borderId="0" xfId="0"/>
    <xf numFmtId="0" fontId="0" fillId="0" borderId="0" xfId="0" applyAlignment="1">
      <alignment horizontal="center" wrapText="1"/>
    </xf>
    <xf numFmtId="0" fontId="6" fillId="0" borderId="0" xfId="0" applyFont="1" applyAlignment="1">
      <alignment horizontal="left"/>
    </xf>
    <xf numFmtId="0" fontId="0" fillId="0" borderId="0" xfId="0" applyProtection="1">
      <protection locked="0"/>
    </xf>
    <xf numFmtId="0" fontId="6" fillId="0" borderId="0" xfId="0" applyFont="1" applyAlignment="1" applyProtection="1">
      <alignment horizontal="center"/>
      <protection locked="0"/>
    </xf>
    <xf numFmtId="0" fontId="6" fillId="0" borderId="0" xfId="0" applyFont="1" applyAlignment="1" applyProtection="1">
      <alignment horizontal="left"/>
      <protection locked="0"/>
    </xf>
    <xf numFmtId="6" fontId="0" fillId="0" borderId="0" xfId="0" applyNumberFormat="1" applyAlignment="1">
      <alignment horizontal="center"/>
    </xf>
    <xf numFmtId="0" fontId="7" fillId="0" borderId="0" xfId="0" applyFont="1"/>
    <xf numFmtId="6" fontId="7" fillId="0" borderId="1" xfId="0" applyNumberFormat="1" applyFont="1" applyBorder="1" applyAlignment="1">
      <alignment horizontal="center"/>
    </xf>
    <xf numFmtId="0" fontId="8" fillId="0" borderId="0" xfId="0" applyFont="1"/>
    <xf numFmtId="0" fontId="9" fillId="0" borderId="0" xfId="0" applyFont="1"/>
    <xf numFmtId="0" fontId="10" fillId="0" borderId="0" xfId="0" applyFont="1" applyProtection="1">
      <protection locked="0"/>
    </xf>
    <xf numFmtId="0" fontId="10" fillId="0" borderId="0" xfId="0" applyFont="1"/>
    <xf numFmtId="0" fontId="11" fillId="0" borderId="0" xfId="0" applyFont="1" applyAlignment="1" applyProtection="1">
      <alignment horizontal="center"/>
      <protection locked="0"/>
    </xf>
    <xf numFmtId="0" fontId="12" fillId="0" borderId="0" xfId="0" applyFont="1" applyAlignment="1" applyProtection="1">
      <alignment horizontal="center"/>
      <protection locked="0"/>
    </xf>
    <xf numFmtId="0" fontId="13" fillId="0" borderId="0" xfId="0" applyFont="1" applyAlignment="1" applyProtection="1">
      <alignment horizontal="center"/>
      <protection locked="0"/>
    </xf>
    <xf numFmtId="0" fontId="14" fillId="0" borderId="0" xfId="0" applyFont="1"/>
    <xf numFmtId="0" fontId="13" fillId="0" borderId="0" xfId="0" applyFont="1"/>
    <xf numFmtId="0" fontId="15" fillId="0" borderId="0" xfId="0" applyFont="1"/>
    <xf numFmtId="0" fontId="5" fillId="0" borderId="0" xfId="0" applyFont="1" applyAlignment="1" applyProtection="1">
      <alignment horizontal="left" indent="3"/>
      <protection locked="0"/>
    </xf>
    <xf numFmtId="0" fontId="18" fillId="0" borderId="0" xfId="0" applyFont="1" applyAlignment="1" applyProtection="1">
      <alignment horizontal="left" indent="3"/>
      <protection locked="0"/>
    </xf>
    <xf numFmtId="0" fontId="6" fillId="0" borderId="0" xfId="0" applyFont="1" applyAlignment="1" applyProtection="1">
      <alignment horizontal="left" indent="3"/>
      <protection locked="0"/>
    </xf>
    <xf numFmtId="0" fontId="0" fillId="0" borderId="0" xfId="0" applyAlignment="1">
      <alignment horizontal="left" indent="3"/>
    </xf>
    <xf numFmtId="0" fontId="10" fillId="0" borderId="0" xfId="0" applyFont="1" applyAlignment="1" applyProtection="1">
      <alignment horizontal="left" indent="3"/>
      <protection locked="0"/>
    </xf>
    <xf numFmtId="0" fontId="20" fillId="0" borderId="0" xfId="0" applyFont="1"/>
    <xf numFmtId="0" fontId="21" fillId="0" borderId="0" xfId="0" applyFont="1"/>
    <xf numFmtId="0" fontId="22" fillId="0" borderId="0" xfId="0" applyFont="1" applyProtection="1">
      <protection locked="0"/>
    </xf>
    <xf numFmtId="0" fontId="23" fillId="0" borderId="0" xfId="0" applyFont="1" applyAlignment="1" applyProtection="1">
      <alignment horizontal="left" indent="3"/>
      <protection locked="0"/>
    </xf>
    <xf numFmtId="0" fontId="24" fillId="0" borderId="0" xfId="3" applyFont="1" applyAlignment="1" applyProtection="1">
      <alignment horizontal="left" indent="3"/>
      <protection locked="0"/>
    </xf>
    <xf numFmtId="0" fontId="25" fillId="0" borderId="0" xfId="0" applyFont="1"/>
    <xf numFmtId="0" fontId="0" fillId="3" borderId="1" xfId="0" applyFill="1" applyBorder="1"/>
    <xf numFmtId="0" fontId="5" fillId="3" borderId="1" xfId="0" applyFont="1" applyFill="1" applyBorder="1"/>
    <xf numFmtId="43" fontId="3" fillId="3" borderId="1" xfId="1" applyFont="1" applyFill="1" applyBorder="1" applyProtection="1">
      <protection locked="0"/>
    </xf>
    <xf numFmtId="43" fontId="3" fillId="3" borderId="1" xfId="1" applyFont="1" applyFill="1" applyBorder="1" applyProtection="1"/>
    <xf numFmtId="0" fontId="5" fillId="3" borderId="1" xfId="0" applyFont="1" applyFill="1" applyBorder="1" applyProtection="1">
      <protection locked="0"/>
    </xf>
    <xf numFmtId="44" fontId="3" fillId="3" borderId="1" xfId="2" applyFont="1" applyFill="1" applyBorder="1"/>
    <xf numFmtId="44" fontId="3" fillId="3" borderId="1" xfId="2" applyFont="1" applyFill="1" applyBorder="1" applyProtection="1"/>
    <xf numFmtId="14" fontId="0" fillId="3" borderId="1" xfId="0" applyNumberFormat="1" applyFill="1" applyBorder="1" applyProtection="1">
      <protection locked="0"/>
    </xf>
    <xf numFmtId="0" fontId="0" fillId="0" borderId="0" xfId="0" applyAlignment="1">
      <alignment horizontal="center"/>
    </xf>
    <xf numFmtId="0" fontId="0" fillId="0" borderId="0" xfId="0" applyAlignment="1">
      <alignment horizontal="right"/>
    </xf>
    <xf numFmtId="0" fontId="16" fillId="0" borderId="0" xfId="0" applyFont="1" applyAlignment="1">
      <alignment wrapText="1"/>
    </xf>
    <xf numFmtId="0" fontId="19" fillId="0" borderId="0" xfId="0" applyFont="1" applyAlignment="1">
      <alignment wrapText="1"/>
    </xf>
    <xf numFmtId="6" fontId="17" fillId="0" borderId="0" xfId="0" applyNumberFormat="1" applyFont="1" applyProtection="1">
      <protection locked="0"/>
    </xf>
    <xf numFmtId="9" fontId="0" fillId="0" borderId="0" xfId="0" applyNumberFormat="1" applyAlignment="1" applyProtection="1">
      <alignment horizontal="center"/>
      <protection locked="0"/>
    </xf>
    <xf numFmtId="164" fontId="0" fillId="0" borderId="0" xfId="0" applyNumberFormat="1" applyAlignment="1" applyProtection="1">
      <alignment horizontal="center"/>
      <protection locked="0"/>
    </xf>
    <xf numFmtId="164" fontId="0" fillId="0" borderId="0" xfId="0" applyNumberFormat="1" applyAlignment="1">
      <alignment horizontal="center"/>
    </xf>
    <xf numFmtId="8" fontId="0" fillId="0" borderId="0" xfId="0" applyNumberFormat="1" applyAlignment="1">
      <alignment horizontal="center"/>
    </xf>
    <xf numFmtId="6" fontId="7" fillId="0" borderId="1" xfId="0" applyNumberFormat="1" applyFont="1" applyBorder="1" applyAlignment="1" applyProtection="1">
      <alignment horizontal="center"/>
      <protection locked="0"/>
    </xf>
    <xf numFmtId="6" fontId="0" fillId="0" borderId="0" xfId="0" applyNumberFormat="1" applyAlignment="1" applyProtection="1">
      <alignment horizontal="center"/>
      <protection locked="0"/>
    </xf>
    <xf numFmtId="0" fontId="0" fillId="4" borderId="0" xfId="0" applyFill="1"/>
    <xf numFmtId="0" fontId="5" fillId="4" borderId="1" xfId="0" applyFont="1" applyFill="1" applyBorder="1"/>
    <xf numFmtId="0" fontId="6" fillId="4" borderId="0" xfId="0" applyFont="1" applyFill="1" applyAlignment="1">
      <alignment horizontal="center"/>
    </xf>
    <xf numFmtId="0" fontId="5" fillId="4" borderId="1" xfId="0" applyFont="1" applyFill="1" applyBorder="1" applyProtection="1">
      <protection locked="0"/>
    </xf>
    <xf numFmtId="9" fontId="7" fillId="0" borderId="1" xfId="0" applyNumberFormat="1" applyFont="1" applyBorder="1" applyAlignment="1" applyProtection="1">
      <alignment horizontal="center"/>
      <protection locked="0"/>
    </xf>
    <xf numFmtId="164" fontId="7" fillId="0" borderId="1" xfId="0" applyNumberFormat="1" applyFont="1" applyBorder="1" applyAlignment="1" applyProtection="1">
      <alignment horizontal="center"/>
      <protection locked="0"/>
    </xf>
    <xf numFmtId="164" fontId="7" fillId="0" borderId="1" xfId="0" applyNumberFormat="1" applyFont="1" applyBorder="1" applyAlignment="1">
      <alignment horizontal="center"/>
    </xf>
    <xf numFmtId="0" fontId="7" fillId="0" borderId="1" xfId="0" applyFont="1" applyBorder="1" applyAlignment="1">
      <alignment horizontal="center"/>
    </xf>
    <xf numFmtId="6" fontId="17" fillId="0" borderId="0" xfId="0" applyNumberFormat="1" applyFont="1" applyAlignment="1" applyProtection="1">
      <alignment horizontal="left"/>
      <protection locked="0"/>
    </xf>
    <xf numFmtId="6" fontId="7" fillId="0" borderId="2" xfId="0" applyNumberFormat="1" applyFont="1" applyBorder="1" applyAlignment="1">
      <alignment horizontal="center"/>
    </xf>
    <xf numFmtId="6" fontId="7" fillId="0" borderId="3" xfId="0" applyNumberFormat="1" applyFont="1" applyBorder="1" applyAlignment="1">
      <alignment horizontal="center"/>
    </xf>
    <xf numFmtId="9" fontId="7" fillId="0" borderId="2" xfId="0" applyNumberFormat="1" applyFont="1" applyBorder="1" applyAlignment="1" applyProtection="1">
      <alignment horizontal="center"/>
      <protection locked="0"/>
    </xf>
    <xf numFmtId="9" fontId="7" fillId="0" borderId="3" xfId="0" applyNumberFormat="1" applyFont="1" applyBorder="1" applyAlignment="1" applyProtection="1">
      <alignment horizontal="center"/>
      <protection locked="0"/>
    </xf>
    <xf numFmtId="0" fontId="7" fillId="0" borderId="2" xfId="0" applyFont="1" applyBorder="1" applyAlignment="1">
      <alignment horizontal="left"/>
    </xf>
    <xf numFmtId="0" fontId="7" fillId="0" borderId="3" xfId="0" applyFont="1" applyBorder="1" applyAlignment="1">
      <alignment horizontal="left"/>
    </xf>
    <xf numFmtId="0" fontId="0" fillId="0" borderId="0" xfId="0" applyAlignment="1">
      <alignment horizontal="center"/>
    </xf>
    <xf numFmtId="0" fontId="28" fillId="0" borderId="2" xfId="0" applyFont="1" applyBorder="1" applyAlignment="1">
      <alignment horizontal="left"/>
    </xf>
    <xf numFmtId="0" fontId="28" fillId="0" borderId="3" xfId="0" applyFont="1" applyBorder="1" applyAlignment="1">
      <alignment horizontal="left"/>
    </xf>
    <xf numFmtId="0" fontId="7" fillId="0" borderId="2" xfId="0" applyFont="1" applyBorder="1" applyAlignment="1">
      <alignment horizontal="center"/>
    </xf>
    <xf numFmtId="0" fontId="7" fillId="0" borderId="3" xfId="0" applyFont="1" applyBorder="1" applyAlignment="1">
      <alignment horizontal="center"/>
    </xf>
    <xf numFmtId="164" fontId="7" fillId="0" borderId="2" xfId="0" applyNumberFormat="1" applyFont="1" applyBorder="1" applyAlignment="1">
      <alignment horizontal="center"/>
    </xf>
    <xf numFmtId="164" fontId="7" fillId="0" borderId="3" xfId="0" applyNumberFormat="1" applyFont="1" applyBorder="1" applyAlignment="1">
      <alignment horizontal="center"/>
    </xf>
    <xf numFmtId="164" fontId="7" fillId="0" borderId="2" xfId="0" applyNumberFormat="1" applyFont="1" applyBorder="1" applyAlignment="1" applyProtection="1">
      <alignment horizontal="center"/>
      <protection locked="0"/>
    </xf>
    <xf numFmtId="164" fontId="7" fillId="0" borderId="3" xfId="0" applyNumberFormat="1" applyFont="1" applyBorder="1" applyAlignment="1" applyProtection="1">
      <alignment horizontal="center"/>
      <protection locked="0"/>
    </xf>
    <xf numFmtId="6" fontId="7" fillId="0" borderId="2" xfId="0" applyNumberFormat="1" applyFont="1" applyBorder="1" applyAlignment="1" applyProtection="1">
      <alignment horizontal="center"/>
      <protection locked="0"/>
    </xf>
    <xf numFmtId="6" fontId="7" fillId="0" borderId="3" xfId="0" applyNumberFormat="1" applyFont="1" applyBorder="1" applyAlignment="1" applyProtection="1">
      <alignment horizontal="center"/>
      <protection locked="0"/>
    </xf>
    <xf numFmtId="0" fontId="0" fillId="0" borderId="0" xfId="0" applyAlignment="1">
      <alignment horizontal="center" wrapText="1"/>
    </xf>
    <xf numFmtId="0" fontId="5" fillId="3" borderId="2" xfId="0" applyFont="1" applyFill="1" applyBorder="1" applyAlignment="1">
      <alignment horizontal="center"/>
    </xf>
    <xf numFmtId="0" fontId="5" fillId="3" borderId="4" xfId="0" applyFont="1" applyFill="1" applyBorder="1" applyAlignment="1">
      <alignment horizontal="center"/>
    </xf>
    <xf numFmtId="0" fontId="5" fillId="3" borderId="3" xfId="0" applyFont="1" applyFill="1" applyBorder="1" applyAlignment="1">
      <alignment horizontal="center"/>
    </xf>
    <xf numFmtId="0" fontId="17" fillId="0" borderId="0" xfId="0" applyFont="1" applyAlignment="1">
      <alignment horizontal="right"/>
    </xf>
    <xf numFmtId="0" fontId="2" fillId="0" borderId="0" xfId="0" applyFont="1" applyAlignment="1">
      <alignment horizontal="center" vertical="top" wrapText="1"/>
    </xf>
    <xf numFmtId="0" fontId="26" fillId="0" borderId="0" xfId="0" applyFont="1"/>
    <xf numFmtId="0" fontId="27" fillId="2" borderId="2" xfId="0" applyFont="1" applyFill="1" applyBorder="1" applyAlignment="1" applyProtection="1">
      <alignment horizontal="center" vertical="center" wrapText="1"/>
      <protection locked="0"/>
    </xf>
    <xf numFmtId="0" fontId="27" fillId="2" borderId="4" xfId="0" applyFont="1" applyFill="1" applyBorder="1" applyAlignment="1" applyProtection="1">
      <alignment horizontal="center" vertical="center"/>
      <protection locked="0"/>
    </xf>
    <xf numFmtId="0" fontId="27" fillId="2" borderId="3" xfId="0" applyFont="1" applyFill="1" applyBorder="1" applyAlignment="1" applyProtection="1">
      <alignment horizontal="center" vertical="center"/>
      <protection locked="0"/>
    </xf>
  </cellXfs>
  <cellStyles count="4">
    <cellStyle name="Comma" xfId="1" builtinId="3"/>
    <cellStyle name="Currency" xfId="2" builtinId="4"/>
    <cellStyle name="Hyperlink" xfId="3"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8</xdr:col>
      <xdr:colOff>419100</xdr:colOff>
      <xdr:row>47</xdr:row>
      <xdr:rowOff>238125</xdr:rowOff>
    </xdr:from>
    <xdr:to>
      <xdr:col>9</xdr:col>
      <xdr:colOff>85725</xdr:colOff>
      <xdr:row>48</xdr:row>
      <xdr:rowOff>0</xdr:rowOff>
    </xdr:to>
    <xdr:pic>
      <xdr:nvPicPr>
        <xdr:cNvPr id="1760" name="Picture 11">
          <a:extLst>
            <a:ext uri="{FF2B5EF4-FFF2-40B4-BE49-F238E27FC236}">
              <a16:creationId xmlns:a16="http://schemas.microsoft.com/office/drawing/2014/main" id="{00000000-0008-0000-0000-0000E006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95725" y="9848850"/>
          <a:ext cx="142875" cy="1428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W48"/>
  <sheetViews>
    <sheetView tabSelected="1" topLeftCell="A14" workbookViewId="0">
      <selection activeCell="S27" sqref="S27"/>
    </sheetView>
  </sheetViews>
  <sheetFormatPr defaultColWidth="8.77734375" defaultRowHeight="14.4" x14ac:dyDescent="0.3"/>
  <cols>
    <col min="1" max="1" width="3.77734375" customWidth="1"/>
    <col min="2" max="2" width="7.109375" customWidth="1"/>
    <col min="3" max="3" width="8.44140625" customWidth="1"/>
    <col min="4" max="4" width="7.109375" customWidth="1"/>
    <col min="5" max="5" width="5.44140625" customWidth="1"/>
    <col min="6" max="6" width="4" customWidth="1"/>
    <col min="7" max="7" width="7.109375" customWidth="1"/>
    <col min="8" max="8" width="8.6640625" customWidth="1"/>
    <col min="9" max="9" width="7.109375" customWidth="1"/>
    <col min="10" max="10" width="5.77734375" customWidth="1"/>
    <col min="11" max="11" width="3.6640625" customWidth="1"/>
    <col min="12" max="12" width="7.109375" customWidth="1"/>
    <col min="13" max="13" width="8.44140625" customWidth="1"/>
    <col min="14" max="15" width="14.44140625" customWidth="1"/>
    <col min="16" max="16" width="5" customWidth="1"/>
    <col min="17" max="17" width="21.6640625" customWidth="1"/>
    <col min="18" max="18" width="12" bestFit="1" customWidth="1"/>
    <col min="19" max="20" width="11.44140625" bestFit="1" customWidth="1"/>
  </cols>
  <sheetData>
    <row r="4" spans="1:23" x14ac:dyDescent="0.3">
      <c r="Q4" s="30"/>
      <c r="R4" s="76" t="s">
        <v>31</v>
      </c>
      <c r="S4" s="77"/>
      <c r="T4" s="78"/>
      <c r="U4" s="30"/>
      <c r="V4" s="30"/>
      <c r="W4" s="30"/>
    </row>
    <row r="5" spans="1:23" x14ac:dyDescent="0.3">
      <c r="Q5" s="30"/>
      <c r="R5" s="30"/>
      <c r="S5" s="30"/>
      <c r="T5" s="30"/>
      <c r="U5" s="30"/>
      <c r="V5" s="30"/>
      <c r="W5" s="30"/>
    </row>
    <row r="6" spans="1:23" x14ac:dyDescent="0.3">
      <c r="Q6" s="30"/>
      <c r="R6" s="30"/>
      <c r="S6" s="30"/>
      <c r="T6" s="30"/>
      <c r="U6" s="30"/>
      <c r="V6" s="30"/>
      <c r="W6" s="30"/>
    </row>
    <row r="7" spans="1:23" x14ac:dyDescent="0.3">
      <c r="Q7" s="30"/>
      <c r="R7" s="31" t="s">
        <v>25</v>
      </c>
      <c r="S7" s="31" t="s">
        <v>26</v>
      </c>
      <c r="T7" s="31" t="s">
        <v>27</v>
      </c>
      <c r="U7" s="30"/>
      <c r="V7" s="30"/>
      <c r="W7" s="30"/>
    </row>
    <row r="8" spans="1:23" ht="25.8" x14ac:dyDescent="0.5">
      <c r="E8" s="3"/>
      <c r="F8" s="3"/>
      <c r="G8" s="3"/>
      <c r="J8" s="25"/>
      <c r="K8" s="26"/>
      <c r="L8" s="26"/>
      <c r="M8" s="26"/>
      <c r="N8" s="26"/>
      <c r="P8" s="49"/>
      <c r="Q8" s="50" t="s">
        <v>21</v>
      </c>
      <c r="R8" s="32">
        <v>0</v>
      </c>
      <c r="S8" s="33">
        <f>R8</f>
        <v>0</v>
      </c>
      <c r="T8" s="33">
        <f>R8</f>
        <v>0</v>
      </c>
      <c r="U8" s="30"/>
      <c r="V8" s="30"/>
      <c r="W8" s="30"/>
    </row>
    <row r="9" spans="1:23" x14ac:dyDescent="0.3">
      <c r="E9" s="3"/>
      <c r="F9" s="3"/>
      <c r="G9" s="3"/>
      <c r="K9" s="3"/>
      <c r="L9" s="3"/>
      <c r="M9" s="19"/>
      <c r="P9" s="49"/>
      <c r="Q9" s="50" t="s">
        <v>22</v>
      </c>
      <c r="R9" s="32">
        <v>0</v>
      </c>
      <c r="S9" s="33">
        <f t="shared" ref="S9:S15" si="0">R9</f>
        <v>0</v>
      </c>
      <c r="T9" s="33">
        <f t="shared" ref="T9:T15" si="1">R9</f>
        <v>0</v>
      </c>
      <c r="U9" s="30"/>
      <c r="V9" s="30"/>
      <c r="W9" s="30"/>
    </row>
    <row r="10" spans="1:23" x14ac:dyDescent="0.3">
      <c r="E10" s="3"/>
      <c r="F10" s="3"/>
      <c r="G10" s="3"/>
      <c r="I10" s="10"/>
      <c r="K10" s="81"/>
      <c r="L10" s="3"/>
      <c r="M10" s="20"/>
      <c r="N10" s="17"/>
      <c r="P10" s="49"/>
      <c r="Q10" s="50" t="s">
        <v>10</v>
      </c>
      <c r="R10" s="32">
        <v>475</v>
      </c>
      <c r="S10" s="33">
        <f t="shared" si="0"/>
        <v>475</v>
      </c>
      <c r="T10" s="33">
        <f t="shared" si="1"/>
        <v>475</v>
      </c>
      <c r="U10" s="30"/>
      <c r="V10" s="30"/>
      <c r="W10" s="30"/>
    </row>
    <row r="11" spans="1:23" x14ac:dyDescent="0.3">
      <c r="E11" s="11"/>
      <c r="F11" s="11"/>
      <c r="G11" s="11"/>
      <c r="K11" s="81"/>
      <c r="L11" s="3"/>
      <c r="M11" s="27"/>
      <c r="N11" s="17" t="s">
        <v>35</v>
      </c>
      <c r="P11" s="49"/>
      <c r="Q11" s="50" t="s">
        <v>11</v>
      </c>
      <c r="R11" s="32">
        <v>372</v>
      </c>
      <c r="S11" s="33">
        <f>R11</f>
        <v>372</v>
      </c>
      <c r="T11" s="33">
        <f t="shared" si="1"/>
        <v>372</v>
      </c>
      <c r="U11" s="30"/>
      <c r="V11" s="30"/>
      <c r="W11" s="30"/>
    </row>
    <row r="12" spans="1:23" x14ac:dyDescent="0.3">
      <c r="B12" s="9"/>
      <c r="E12" s="11"/>
      <c r="F12" s="11"/>
      <c r="G12" s="11"/>
      <c r="K12" s="3"/>
      <c r="L12" s="3"/>
      <c r="M12" s="23"/>
      <c r="N12" s="17"/>
      <c r="P12" s="49"/>
      <c r="Q12" s="50" t="s">
        <v>12</v>
      </c>
      <c r="R12" s="32">
        <v>1595</v>
      </c>
      <c r="S12" s="33">
        <f t="shared" si="0"/>
        <v>1595</v>
      </c>
      <c r="T12" s="33">
        <f t="shared" si="1"/>
        <v>1595</v>
      </c>
      <c r="U12" s="30"/>
      <c r="V12" s="30"/>
      <c r="W12" s="30"/>
    </row>
    <row r="13" spans="1:23" x14ac:dyDescent="0.3">
      <c r="E13" s="11"/>
      <c r="F13" s="11"/>
      <c r="G13" s="11"/>
      <c r="K13" s="3"/>
      <c r="L13" s="3"/>
      <c r="M13" s="23"/>
      <c r="N13" s="17"/>
      <c r="P13" s="49"/>
      <c r="Q13" s="50" t="s">
        <v>13</v>
      </c>
      <c r="R13" s="32">
        <v>0</v>
      </c>
      <c r="S13" s="33">
        <f t="shared" si="0"/>
        <v>0</v>
      </c>
      <c r="T13" s="33">
        <f t="shared" si="1"/>
        <v>0</v>
      </c>
      <c r="U13" s="30"/>
      <c r="V13" s="30"/>
      <c r="W13" s="30"/>
    </row>
    <row r="14" spans="1:23" x14ac:dyDescent="0.3">
      <c r="E14" s="12"/>
      <c r="F14" s="12"/>
      <c r="G14" s="12"/>
      <c r="M14" s="28"/>
      <c r="N14" s="29"/>
      <c r="O14" s="24"/>
      <c r="P14" s="49"/>
      <c r="Q14" s="50" t="s">
        <v>14</v>
      </c>
      <c r="R14" s="32">
        <v>0</v>
      </c>
      <c r="S14" s="33">
        <f t="shared" si="0"/>
        <v>0</v>
      </c>
      <c r="T14" s="33">
        <f t="shared" si="1"/>
        <v>0</v>
      </c>
      <c r="U14" s="30"/>
      <c r="V14" s="30"/>
      <c r="W14" s="30"/>
    </row>
    <row r="15" spans="1:23" ht="23.4" x14ac:dyDescent="0.45">
      <c r="E15" s="12"/>
      <c r="F15" s="12"/>
      <c r="G15" s="12"/>
      <c r="M15" s="21"/>
      <c r="N15" s="39"/>
      <c r="P15" s="49"/>
      <c r="Q15" s="50" t="s">
        <v>15</v>
      </c>
      <c r="R15" s="32">
        <v>0</v>
      </c>
      <c r="S15" s="33">
        <f t="shared" si="0"/>
        <v>0</v>
      </c>
      <c r="T15" s="33">
        <f t="shared" si="1"/>
        <v>0</v>
      </c>
      <c r="U15" s="30"/>
      <c r="V15" s="30"/>
      <c r="W15" s="30"/>
    </row>
    <row r="16" spans="1:23" ht="15" customHeight="1" x14ac:dyDescent="0.45">
      <c r="A16" s="4"/>
      <c r="B16" s="4"/>
      <c r="C16" s="4"/>
      <c r="D16" s="13"/>
      <c r="E16" s="14"/>
      <c r="F16" s="15"/>
      <c r="G16" s="14"/>
      <c r="H16" s="4"/>
      <c r="I16" s="4"/>
      <c r="J16" s="4"/>
      <c r="K16" s="4"/>
      <c r="L16" s="4"/>
      <c r="M16" s="22"/>
      <c r="O16" s="4"/>
      <c r="P16" s="51"/>
      <c r="Q16" s="50" t="s">
        <v>16</v>
      </c>
      <c r="R16" s="33">
        <f>(F27*D34/365) * 15</f>
        <v>1268.5684931506848</v>
      </c>
      <c r="S16" s="33">
        <f>(F27*I34/365) * 15</f>
        <v>1195.3818493150686</v>
      </c>
      <c r="T16" s="33">
        <f>(F27*N34/365) * 15</f>
        <v>1219.777397260274</v>
      </c>
      <c r="U16" s="30"/>
      <c r="V16" s="30"/>
      <c r="W16" s="30"/>
    </row>
    <row r="17" spans="2:23" x14ac:dyDescent="0.3">
      <c r="D17" s="16"/>
      <c r="E17" s="17"/>
      <c r="F17" s="17"/>
      <c r="G17" s="17"/>
      <c r="M17" s="20"/>
      <c r="N17" s="17"/>
      <c r="P17" s="49"/>
      <c r="Q17" s="50" t="s">
        <v>17</v>
      </c>
      <c r="R17" s="32">
        <v>525</v>
      </c>
      <c r="S17" s="33">
        <f>R17</f>
        <v>525</v>
      </c>
      <c r="T17" s="33">
        <f>R17</f>
        <v>525</v>
      </c>
      <c r="U17" s="30"/>
      <c r="V17" s="30"/>
      <c r="W17" s="30"/>
    </row>
    <row r="18" spans="2:23" x14ac:dyDescent="0.3">
      <c r="D18" s="16"/>
      <c r="E18" s="17"/>
      <c r="F18" s="18"/>
      <c r="G18" s="17"/>
      <c r="M18" s="23"/>
      <c r="N18" s="17" t="s">
        <v>34</v>
      </c>
      <c r="P18" s="49"/>
      <c r="Q18" s="50" t="s">
        <v>18</v>
      </c>
      <c r="R18" s="32">
        <v>1500</v>
      </c>
      <c r="S18" s="33">
        <f t="shared" ref="S18:S24" si="2">R18</f>
        <v>1500</v>
      </c>
      <c r="T18" s="33">
        <f t="shared" ref="T18:T24" si="3">R18</f>
        <v>1500</v>
      </c>
      <c r="U18" s="30"/>
      <c r="V18" s="30"/>
      <c r="W18" s="30"/>
    </row>
    <row r="19" spans="2:23" x14ac:dyDescent="0.3">
      <c r="D19" s="16"/>
      <c r="E19" s="17"/>
      <c r="F19" s="17"/>
      <c r="G19" s="17"/>
      <c r="M19" s="23"/>
      <c r="N19" s="17"/>
      <c r="P19" s="49"/>
      <c r="Q19" s="52" t="s">
        <v>20</v>
      </c>
      <c r="R19" s="32">
        <v>0</v>
      </c>
      <c r="S19" s="33">
        <f t="shared" si="2"/>
        <v>0</v>
      </c>
      <c r="T19" s="33">
        <f t="shared" si="3"/>
        <v>0</v>
      </c>
      <c r="U19" s="30"/>
      <c r="V19" s="30"/>
      <c r="W19" s="30"/>
    </row>
    <row r="20" spans="2:23" x14ac:dyDescent="0.3">
      <c r="E20" s="12"/>
      <c r="F20" s="12"/>
      <c r="G20" s="12"/>
      <c r="M20" s="23"/>
      <c r="N20" s="17"/>
      <c r="P20" s="49"/>
      <c r="Q20" s="52" t="s">
        <v>20</v>
      </c>
      <c r="R20" s="32">
        <v>0</v>
      </c>
      <c r="S20" s="33">
        <f t="shared" si="2"/>
        <v>0</v>
      </c>
      <c r="T20" s="33">
        <f t="shared" si="3"/>
        <v>0</v>
      </c>
      <c r="U20" s="30"/>
      <c r="V20" s="30"/>
      <c r="W20" s="30"/>
    </row>
    <row r="21" spans="2:23" x14ac:dyDescent="0.3">
      <c r="E21" s="12"/>
      <c r="F21" s="12"/>
      <c r="G21" s="12"/>
      <c r="M21" s="28"/>
      <c r="N21" s="29"/>
      <c r="P21" s="49"/>
      <c r="Q21" s="52" t="s">
        <v>20</v>
      </c>
      <c r="R21" s="32">
        <v>0</v>
      </c>
      <c r="S21" s="33">
        <f t="shared" si="2"/>
        <v>0</v>
      </c>
      <c r="T21" s="33">
        <f t="shared" si="3"/>
        <v>0</v>
      </c>
      <c r="U21" s="30"/>
      <c r="V21" s="30"/>
      <c r="W21" s="30"/>
    </row>
    <row r="22" spans="2:23" x14ac:dyDescent="0.3">
      <c r="E22" s="12"/>
      <c r="F22" s="12"/>
      <c r="G22" s="12"/>
      <c r="M22" s="22"/>
      <c r="P22" s="49"/>
      <c r="Q22" s="52" t="s">
        <v>20</v>
      </c>
      <c r="R22" s="32">
        <v>0</v>
      </c>
      <c r="S22" s="33">
        <f t="shared" si="2"/>
        <v>0</v>
      </c>
      <c r="T22" s="33">
        <f t="shared" si="3"/>
        <v>0</v>
      </c>
      <c r="U22" s="30"/>
      <c r="V22" s="30"/>
      <c r="W22" s="30"/>
    </row>
    <row r="23" spans="2:23" x14ac:dyDescent="0.3">
      <c r="E23" s="12"/>
      <c r="F23" s="12"/>
      <c r="G23" s="12"/>
      <c r="P23" s="49"/>
      <c r="Q23" s="52" t="s">
        <v>20</v>
      </c>
      <c r="R23" s="32">
        <v>0</v>
      </c>
      <c r="S23" s="33">
        <f t="shared" si="2"/>
        <v>0</v>
      </c>
      <c r="T23" s="33">
        <f t="shared" si="3"/>
        <v>0</v>
      </c>
      <c r="U23" s="30"/>
      <c r="V23" s="30"/>
      <c r="W23" s="30"/>
    </row>
    <row r="24" spans="2:23" ht="15" customHeight="1" x14ac:dyDescent="0.45">
      <c r="B24" s="80" t="s">
        <v>36</v>
      </c>
      <c r="C24" s="80"/>
      <c r="D24" s="80"/>
      <c r="E24" s="80"/>
      <c r="F24" s="80"/>
      <c r="G24" s="80"/>
      <c r="H24" s="80"/>
      <c r="I24" s="80"/>
      <c r="J24" s="40"/>
      <c r="K24" s="40"/>
      <c r="L24" s="41"/>
      <c r="M24" s="40"/>
      <c r="N24" s="40"/>
      <c r="P24" s="49"/>
      <c r="Q24" s="52" t="s">
        <v>20</v>
      </c>
      <c r="R24" s="32">
        <v>0</v>
      </c>
      <c r="S24" s="33">
        <f t="shared" si="2"/>
        <v>0</v>
      </c>
      <c r="T24" s="33">
        <f t="shared" si="3"/>
        <v>0</v>
      </c>
      <c r="U24" s="30"/>
      <c r="V24" s="30"/>
      <c r="W24" s="30"/>
    </row>
    <row r="25" spans="2:23" ht="26.25" customHeight="1" x14ac:dyDescent="0.45">
      <c r="B25" s="80"/>
      <c r="C25" s="80"/>
      <c r="D25" s="80"/>
      <c r="E25" s="80"/>
      <c r="F25" s="80"/>
      <c r="G25" s="80"/>
      <c r="H25" s="80"/>
      <c r="I25" s="80"/>
      <c r="J25" s="40"/>
      <c r="K25" s="40"/>
      <c r="L25" s="40"/>
      <c r="M25" s="40"/>
      <c r="N25" s="40"/>
      <c r="P25" s="49"/>
      <c r="Q25" s="50" t="s">
        <v>19</v>
      </c>
      <c r="R25" s="35">
        <f>SUM(R10:R24)+(R8/100*$F$27) + (R9/100*$F$27)</f>
        <v>5735.5684931506848</v>
      </c>
      <c r="S25" s="36">
        <f>SUM(S10:S24)+(S8/100*$F$27) + (S9/100*$F$27)</f>
        <v>5662.3818493150684</v>
      </c>
      <c r="T25" s="36">
        <f>SUM(T10:T24)+(T8/100*$F$27) + (T9/100*$F$27)</f>
        <v>5686.7773972602736</v>
      </c>
      <c r="U25" s="30"/>
      <c r="V25" s="30"/>
      <c r="W25" s="30"/>
    </row>
    <row r="26" spans="2:23" ht="15" customHeight="1" x14ac:dyDescent="0.45">
      <c r="B26" s="80"/>
      <c r="C26" s="80"/>
      <c r="D26" s="80"/>
      <c r="E26" s="80"/>
      <c r="F26" s="80"/>
      <c r="G26" s="80"/>
      <c r="H26" s="80"/>
      <c r="I26" s="80"/>
      <c r="J26" s="40"/>
      <c r="K26" s="40"/>
      <c r="L26" s="40"/>
      <c r="M26" s="40"/>
      <c r="N26" s="40"/>
      <c r="Q26" s="30"/>
      <c r="R26" s="30"/>
      <c r="S26" s="30"/>
      <c r="T26" s="30"/>
      <c r="U26" s="30"/>
      <c r="V26" s="30"/>
      <c r="W26" s="30"/>
    </row>
    <row r="27" spans="2:23" ht="23.4" x14ac:dyDescent="0.45">
      <c r="B27" s="79" t="s">
        <v>28</v>
      </c>
      <c r="C27" s="79"/>
      <c r="D27" s="79"/>
      <c r="E27" s="79"/>
      <c r="F27" s="57">
        <v>474900</v>
      </c>
      <c r="G27" s="57"/>
      <c r="H27" s="57"/>
      <c r="I27" s="42"/>
      <c r="O27" s="5"/>
      <c r="P27" s="2"/>
      <c r="Q27" s="34" t="s">
        <v>23</v>
      </c>
      <c r="R27" s="37">
        <v>46212</v>
      </c>
      <c r="S27" s="30"/>
      <c r="T27" s="30"/>
      <c r="U27" s="30"/>
      <c r="V27" s="30"/>
      <c r="W27" s="30"/>
    </row>
    <row r="28" spans="2:23" x14ac:dyDescent="0.3">
      <c r="Q28" s="30"/>
      <c r="R28" s="30"/>
      <c r="S28" s="30"/>
      <c r="T28" s="30"/>
      <c r="U28" s="30"/>
      <c r="V28" s="30"/>
      <c r="W28" s="30"/>
    </row>
    <row r="29" spans="2:23" ht="25.5" customHeight="1" x14ac:dyDescent="0.3">
      <c r="B29" s="82" t="s">
        <v>32</v>
      </c>
      <c r="C29" s="83"/>
      <c r="D29" s="83"/>
      <c r="E29" s="84"/>
      <c r="F29" s="7"/>
      <c r="G29" s="82" t="s">
        <v>37</v>
      </c>
      <c r="H29" s="83"/>
      <c r="I29" s="83"/>
      <c r="J29" s="84"/>
      <c r="K29" s="7"/>
      <c r="L29" s="82" t="s">
        <v>33</v>
      </c>
      <c r="M29" s="83"/>
      <c r="N29" s="84"/>
      <c r="Q29" s="30"/>
      <c r="R29" s="30"/>
      <c r="S29" s="30"/>
      <c r="T29" s="30"/>
      <c r="U29" s="30"/>
      <c r="V29" s="30"/>
      <c r="W29" s="30"/>
    </row>
    <row r="30" spans="2:23" x14ac:dyDescent="0.3">
      <c r="B30" s="62" t="s">
        <v>1</v>
      </c>
      <c r="C30" s="63"/>
      <c r="D30" s="58">
        <f>F27</f>
        <v>474900</v>
      </c>
      <c r="E30" s="59"/>
      <c r="F30" s="7"/>
      <c r="G30" s="62" t="s">
        <v>1</v>
      </c>
      <c r="H30" s="63"/>
      <c r="I30" s="58">
        <f>F27</f>
        <v>474900</v>
      </c>
      <c r="J30" s="59"/>
      <c r="K30" s="7"/>
      <c r="L30" s="62" t="s">
        <v>1</v>
      </c>
      <c r="M30" s="63"/>
      <c r="N30" s="8">
        <f>F27</f>
        <v>474900</v>
      </c>
      <c r="O30" s="6"/>
      <c r="Q30" s="30"/>
      <c r="R30" s="30"/>
      <c r="S30" s="30"/>
      <c r="T30" s="30"/>
      <c r="U30" s="30"/>
      <c r="V30" s="30"/>
      <c r="W30" s="30"/>
    </row>
    <row r="31" spans="2:23" x14ac:dyDescent="0.3">
      <c r="B31" s="62" t="s">
        <v>2</v>
      </c>
      <c r="C31" s="63"/>
      <c r="D31" s="60">
        <v>0.2</v>
      </c>
      <c r="E31" s="61"/>
      <c r="F31" s="7"/>
      <c r="G31" s="62" t="s">
        <v>2</v>
      </c>
      <c r="H31" s="63"/>
      <c r="I31" s="60">
        <v>3.5000000000000003E-2</v>
      </c>
      <c r="J31" s="61"/>
      <c r="K31" s="7"/>
      <c r="L31" s="62" t="s">
        <v>2</v>
      </c>
      <c r="M31" s="63"/>
      <c r="N31" s="53">
        <v>0.2</v>
      </c>
      <c r="O31" s="43"/>
    </row>
    <row r="32" spans="2:23" x14ac:dyDescent="0.3">
      <c r="B32" s="62" t="s">
        <v>2</v>
      </c>
      <c r="C32" s="63"/>
      <c r="D32" s="58">
        <f>ROUNDUP(D30*D31,-2)</f>
        <v>95000</v>
      </c>
      <c r="E32" s="59"/>
      <c r="F32" s="7"/>
      <c r="G32" s="62" t="s">
        <v>2</v>
      </c>
      <c r="H32" s="63"/>
      <c r="I32" s="58">
        <f>ROUNDUP(I30*I31,-2)</f>
        <v>16700</v>
      </c>
      <c r="J32" s="59"/>
      <c r="K32" s="7"/>
      <c r="L32" s="62" t="s">
        <v>2</v>
      </c>
      <c r="M32" s="63"/>
      <c r="N32" s="8">
        <f>ROUNDUP(N30*N31,-2)</f>
        <v>95000</v>
      </c>
      <c r="O32" s="6"/>
    </row>
    <row r="33" spans="1:17" x14ac:dyDescent="0.3">
      <c r="B33" s="62" t="s">
        <v>3</v>
      </c>
      <c r="C33" s="63"/>
      <c r="D33" s="58">
        <f>ROUNDDOWN(D30-D32,-2)</f>
        <v>379900</v>
      </c>
      <c r="E33" s="59"/>
      <c r="F33" s="7"/>
      <c r="G33" s="62" t="s">
        <v>3</v>
      </c>
      <c r="H33" s="63"/>
      <c r="I33" s="58">
        <f>ROUNDDOWN(I30-I32,-2)</f>
        <v>458200</v>
      </c>
      <c r="J33" s="59"/>
      <c r="K33" s="7"/>
      <c r="L33" s="62" t="s">
        <v>3</v>
      </c>
      <c r="M33" s="63"/>
      <c r="N33" s="8">
        <f>ROUNDDOWN(N30-N32,-2)</f>
        <v>379900</v>
      </c>
      <c r="O33" s="6"/>
    </row>
    <row r="34" spans="1:17" x14ac:dyDescent="0.3">
      <c r="B34" s="62" t="s">
        <v>4</v>
      </c>
      <c r="C34" s="63"/>
      <c r="D34" s="71">
        <v>6.5000000000000002E-2</v>
      </c>
      <c r="E34" s="72"/>
      <c r="F34" s="7"/>
      <c r="G34" s="62" t="s">
        <v>4</v>
      </c>
      <c r="H34" s="63"/>
      <c r="I34" s="71">
        <v>6.1249999999999999E-2</v>
      </c>
      <c r="J34" s="72"/>
      <c r="K34" s="7"/>
      <c r="L34" s="62" t="s">
        <v>4</v>
      </c>
      <c r="M34" s="63"/>
      <c r="N34" s="54">
        <v>6.25E-2</v>
      </c>
      <c r="O34" s="44"/>
    </row>
    <row r="35" spans="1:17" x14ac:dyDescent="0.3">
      <c r="B35" s="62" t="s">
        <v>5</v>
      </c>
      <c r="C35" s="63"/>
      <c r="D35" s="69">
        <f>(RATE((D36*12),-D37,(D33-$R$25)) *12)</f>
        <v>6.6468592982516575E-2</v>
      </c>
      <c r="E35" s="70"/>
      <c r="F35" s="7"/>
      <c r="G35" s="62" t="s">
        <v>5</v>
      </c>
      <c r="H35" s="63"/>
      <c r="I35" s="69">
        <f>(RATE((I36*12),-I37,(I33-$S$25)) *12)</f>
        <v>6.2422504698227119E-2</v>
      </c>
      <c r="J35" s="70"/>
      <c r="K35" s="7"/>
      <c r="L35" s="62" t="s">
        <v>5</v>
      </c>
      <c r="M35" s="63"/>
      <c r="N35" s="55">
        <f>(RATE((N36*12),-N37,(N33-$T$25)) *12)</f>
        <v>6.4880906869031973E-2</v>
      </c>
      <c r="O35" s="45"/>
    </row>
    <row r="36" spans="1:17" x14ac:dyDescent="0.3">
      <c r="B36" s="62" t="s">
        <v>6</v>
      </c>
      <c r="C36" s="63"/>
      <c r="D36" s="67">
        <v>30</v>
      </c>
      <c r="E36" s="68"/>
      <c r="F36" s="7"/>
      <c r="G36" s="62" t="s">
        <v>6</v>
      </c>
      <c r="H36" s="63"/>
      <c r="I36" s="67">
        <v>30</v>
      </c>
      <c r="J36" s="68"/>
      <c r="K36" s="7"/>
      <c r="L36" s="62" t="s">
        <v>6</v>
      </c>
      <c r="M36" s="63"/>
      <c r="N36" s="56">
        <v>15</v>
      </c>
      <c r="O36" s="46"/>
    </row>
    <row r="37" spans="1:17" x14ac:dyDescent="0.3">
      <c r="B37" s="62" t="s">
        <v>9</v>
      </c>
      <c r="C37" s="63"/>
      <c r="D37" s="58">
        <f>PMT(D34/12, D36*12, D33)*(-1)</f>
        <v>2401.2264212497694</v>
      </c>
      <c r="E37" s="59"/>
      <c r="F37" s="7"/>
      <c r="G37" s="62" t="s">
        <v>9</v>
      </c>
      <c r="H37" s="63"/>
      <c r="I37" s="58">
        <f>PMT(I34/12, I36*12, I33)*(-1)</f>
        <v>2784.0714923587298</v>
      </c>
      <c r="J37" s="59"/>
      <c r="K37" s="7"/>
      <c r="L37" s="62" t="s">
        <v>9</v>
      </c>
      <c r="M37" s="63"/>
      <c r="N37" s="8">
        <f>PMT(N34/12, N36*12, N33)*(-1)</f>
        <v>3257.3494698341365</v>
      </c>
      <c r="O37" s="6"/>
    </row>
    <row r="38" spans="1:17" x14ac:dyDescent="0.3">
      <c r="B38" s="62" t="s">
        <v>29</v>
      </c>
      <c r="C38" s="63"/>
      <c r="D38" s="73">
        <v>0</v>
      </c>
      <c r="E38" s="74"/>
      <c r="F38" s="7"/>
      <c r="G38" s="62" t="s">
        <v>29</v>
      </c>
      <c r="H38" s="63"/>
      <c r="I38" s="73">
        <v>210</v>
      </c>
      <c r="J38" s="74"/>
      <c r="K38" s="7"/>
      <c r="L38" s="62" t="s">
        <v>29</v>
      </c>
      <c r="M38" s="63"/>
      <c r="N38" s="47">
        <v>0</v>
      </c>
      <c r="O38" s="48"/>
    </row>
    <row r="39" spans="1:17" x14ac:dyDescent="0.3">
      <c r="B39" s="62" t="s">
        <v>7</v>
      </c>
      <c r="C39" s="63"/>
      <c r="D39" s="73">
        <v>718</v>
      </c>
      <c r="E39" s="74"/>
      <c r="F39" s="7"/>
      <c r="G39" s="62" t="s">
        <v>7</v>
      </c>
      <c r="H39" s="63"/>
      <c r="I39" s="73">
        <f>D39</f>
        <v>718</v>
      </c>
      <c r="J39" s="74"/>
      <c r="K39" s="7"/>
      <c r="L39" s="62" t="s">
        <v>7</v>
      </c>
      <c r="M39" s="63"/>
      <c r="N39" s="47">
        <f>D39</f>
        <v>718</v>
      </c>
      <c r="O39" s="48"/>
    </row>
    <row r="40" spans="1:17" x14ac:dyDescent="0.3">
      <c r="B40" s="62" t="s">
        <v>30</v>
      </c>
      <c r="C40" s="63"/>
      <c r="D40" s="73">
        <v>150</v>
      </c>
      <c r="E40" s="74"/>
      <c r="F40" s="7"/>
      <c r="G40" s="62" t="s">
        <v>30</v>
      </c>
      <c r="H40" s="63"/>
      <c r="I40" s="73">
        <f>D40</f>
        <v>150</v>
      </c>
      <c r="J40" s="74"/>
      <c r="K40" s="7"/>
      <c r="L40" s="62" t="s">
        <v>30</v>
      </c>
      <c r="M40" s="63"/>
      <c r="N40" s="47">
        <f>D40</f>
        <v>150</v>
      </c>
      <c r="O40" s="48"/>
    </row>
    <row r="41" spans="1:17" x14ac:dyDescent="0.3">
      <c r="B41" s="62" t="s">
        <v>24</v>
      </c>
      <c r="C41" s="63"/>
      <c r="D41" s="73">
        <v>0</v>
      </c>
      <c r="E41" s="74"/>
      <c r="F41" s="7"/>
      <c r="G41" s="62" t="s">
        <v>24</v>
      </c>
      <c r="H41" s="63"/>
      <c r="I41" s="73">
        <f>D41</f>
        <v>0</v>
      </c>
      <c r="J41" s="74"/>
      <c r="K41" s="7"/>
      <c r="L41" s="62" t="s">
        <v>24</v>
      </c>
      <c r="M41" s="63"/>
      <c r="N41" s="47">
        <f>D41</f>
        <v>0</v>
      </c>
      <c r="O41" s="48"/>
      <c r="Q41">
        <f>8948/12</f>
        <v>745.66666666666663</v>
      </c>
    </row>
    <row r="42" spans="1:17" x14ac:dyDescent="0.3">
      <c r="B42" s="65" t="s">
        <v>8</v>
      </c>
      <c r="C42" s="66"/>
      <c r="D42" s="58">
        <f>D37+D38+D39+D40+D41</f>
        <v>3269.2264212497694</v>
      </c>
      <c r="E42" s="59"/>
      <c r="F42" s="7"/>
      <c r="G42" s="65" t="s">
        <v>8</v>
      </c>
      <c r="H42" s="66"/>
      <c r="I42" s="58">
        <f>I37+I38+I39+I40+I41</f>
        <v>3862.0714923587298</v>
      </c>
      <c r="J42" s="59"/>
      <c r="K42" s="7"/>
      <c r="L42" s="65" t="s">
        <v>8</v>
      </c>
      <c r="M42" s="66"/>
      <c r="N42" s="8">
        <f>N37+N38+N39+N40+N41</f>
        <v>4125.3494698341365</v>
      </c>
      <c r="O42" s="6"/>
      <c r="Q42">
        <f>250/12</f>
        <v>20.833333333333332</v>
      </c>
    </row>
    <row r="43" spans="1:17" x14ac:dyDescent="0.3">
      <c r="B43" s="64" t="str">
        <f>CONCATENATE("** All rates quoted as of ",MONTH(R27),  "/", DAY(R27), "/", YEAR(R27), " and are based on a minimum credit score of 740.")</f>
        <v>** All rates quoted as of 7/9/2026 and are based on a minimum credit score of 740.</v>
      </c>
      <c r="C43" s="64"/>
      <c r="D43" s="64"/>
      <c r="E43" s="64"/>
      <c r="F43" s="64"/>
      <c r="G43" s="64"/>
      <c r="H43" s="64"/>
      <c r="I43" s="64"/>
      <c r="J43" s="64"/>
      <c r="K43" s="64"/>
      <c r="L43" s="64"/>
      <c r="M43" s="64"/>
      <c r="N43" s="64"/>
      <c r="O43" s="38"/>
    </row>
    <row r="44" spans="1:17" ht="8.25" customHeight="1" x14ac:dyDescent="0.3"/>
    <row r="45" spans="1:17" ht="15" customHeight="1" x14ac:dyDescent="0.3">
      <c r="A45" s="75" t="s">
        <v>0</v>
      </c>
      <c r="B45" s="75"/>
      <c r="C45" s="75"/>
      <c r="D45" s="75"/>
      <c r="E45" s="75"/>
      <c r="F45" s="75"/>
      <c r="G45" s="75"/>
      <c r="H45" s="75"/>
      <c r="I45" s="75"/>
      <c r="J45" s="75"/>
      <c r="K45" s="75"/>
      <c r="L45" s="75"/>
      <c r="M45" s="75"/>
      <c r="N45" s="75"/>
      <c r="O45" s="1"/>
      <c r="P45" s="1"/>
    </row>
    <row r="46" spans="1:17" x14ac:dyDescent="0.3">
      <c r="A46" s="75"/>
      <c r="B46" s="75"/>
      <c r="C46" s="75"/>
      <c r="D46" s="75"/>
      <c r="E46" s="75"/>
      <c r="F46" s="75"/>
      <c r="G46" s="75"/>
      <c r="H46" s="75"/>
      <c r="I46" s="75"/>
      <c r="J46" s="75"/>
      <c r="K46" s="75"/>
      <c r="L46" s="75"/>
      <c r="M46" s="75"/>
      <c r="N46" s="75"/>
      <c r="O46" s="1"/>
      <c r="P46" s="1"/>
    </row>
    <row r="47" spans="1:17" x14ac:dyDescent="0.3">
      <c r="A47" s="75"/>
      <c r="B47" s="75"/>
      <c r="C47" s="75"/>
      <c r="D47" s="75"/>
      <c r="E47" s="75"/>
      <c r="F47" s="75"/>
      <c r="G47" s="75"/>
      <c r="H47" s="75"/>
      <c r="I47" s="75"/>
      <c r="J47" s="75"/>
      <c r="K47" s="75"/>
      <c r="L47" s="75"/>
      <c r="M47" s="75"/>
      <c r="N47" s="75"/>
      <c r="O47" s="1"/>
      <c r="P47" s="1"/>
    </row>
    <row r="48" spans="1:17" ht="30" customHeight="1" x14ac:dyDescent="0.3">
      <c r="A48" s="75"/>
      <c r="B48" s="75"/>
      <c r="C48" s="75"/>
      <c r="D48" s="75"/>
      <c r="E48" s="75"/>
      <c r="F48" s="75"/>
      <c r="G48" s="75"/>
      <c r="H48" s="75"/>
      <c r="I48" s="75"/>
      <c r="J48" s="75"/>
      <c r="K48" s="75"/>
      <c r="L48" s="75"/>
      <c r="M48" s="75"/>
      <c r="N48" s="75"/>
      <c r="O48" s="1"/>
      <c r="P48" s="1"/>
    </row>
  </sheetData>
  <sheetProtection selectLockedCells="1"/>
  <mergeCells count="75">
    <mergeCell ref="R4:T4"/>
    <mergeCell ref="B27:E27"/>
    <mergeCell ref="B24:I26"/>
    <mergeCell ref="K10:K11"/>
    <mergeCell ref="L41:M41"/>
    <mergeCell ref="L29:N29"/>
    <mergeCell ref="L39:M39"/>
    <mergeCell ref="L40:M40"/>
    <mergeCell ref="L33:M33"/>
    <mergeCell ref="L34:M34"/>
    <mergeCell ref="L36:M36"/>
    <mergeCell ref="L38:M38"/>
    <mergeCell ref="B29:E29"/>
    <mergeCell ref="G29:J29"/>
    <mergeCell ref="G38:H38"/>
    <mergeCell ref="B36:C36"/>
    <mergeCell ref="A45:N48"/>
    <mergeCell ref="L30:M30"/>
    <mergeCell ref="L31:M31"/>
    <mergeCell ref="B41:C41"/>
    <mergeCell ref="D41:E41"/>
    <mergeCell ref="G41:H41"/>
    <mergeCell ref="L32:M32"/>
    <mergeCell ref="L42:M42"/>
    <mergeCell ref="L35:M35"/>
    <mergeCell ref="I35:J35"/>
    <mergeCell ref="I36:J36"/>
    <mergeCell ref="I37:J37"/>
    <mergeCell ref="I38:J38"/>
    <mergeCell ref="D32:E32"/>
    <mergeCell ref="D33:E33"/>
    <mergeCell ref="B30:C30"/>
    <mergeCell ref="I42:J42"/>
    <mergeCell ref="I39:J39"/>
    <mergeCell ref="L37:M37"/>
    <mergeCell ref="D37:E37"/>
    <mergeCell ref="D38:E38"/>
    <mergeCell ref="G40:H40"/>
    <mergeCell ref="G42:H42"/>
    <mergeCell ref="I40:J40"/>
    <mergeCell ref="D40:E40"/>
    <mergeCell ref="I41:J41"/>
    <mergeCell ref="D42:E42"/>
    <mergeCell ref="G30:H30"/>
    <mergeCell ref="G31:H31"/>
    <mergeCell ref="G32:H32"/>
    <mergeCell ref="G33:H33"/>
    <mergeCell ref="I30:J30"/>
    <mergeCell ref="I31:J31"/>
    <mergeCell ref="I32:J32"/>
    <mergeCell ref="I33:J33"/>
    <mergeCell ref="I34:J34"/>
    <mergeCell ref="B34:C34"/>
    <mergeCell ref="D39:E39"/>
    <mergeCell ref="D34:E34"/>
    <mergeCell ref="G36:H36"/>
    <mergeCell ref="G37:H37"/>
    <mergeCell ref="G34:H34"/>
    <mergeCell ref="G35:H35"/>
    <mergeCell ref="F27:H27"/>
    <mergeCell ref="D30:E30"/>
    <mergeCell ref="D31:E31"/>
    <mergeCell ref="B35:C35"/>
    <mergeCell ref="B43:N43"/>
    <mergeCell ref="B37:C37"/>
    <mergeCell ref="B38:C38"/>
    <mergeCell ref="B39:C39"/>
    <mergeCell ref="B40:C40"/>
    <mergeCell ref="B42:C42"/>
    <mergeCell ref="D36:E36"/>
    <mergeCell ref="D35:E35"/>
    <mergeCell ref="G39:H39"/>
    <mergeCell ref="B31:C31"/>
    <mergeCell ref="B32:C32"/>
    <mergeCell ref="B33:C33"/>
  </mergeCells>
  <pageMargins left="0.1" right="0.1" top="0.25" bottom="0.1"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8.77734375"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8.77734375"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Jason Cohen</dc:creator>
  <cp:lastModifiedBy>Isolina Fernandez-Kirchner</cp:lastModifiedBy>
  <cp:lastPrinted>2026-01-27T20:55:44Z</cp:lastPrinted>
  <dcterms:created xsi:type="dcterms:W3CDTF">2011-07-20T17:37:17Z</dcterms:created>
  <dcterms:modified xsi:type="dcterms:W3CDTF">2026-07-09T20:59:52Z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2a21e1e-ea2d-4ee1-8dda-50c584d99024_Enabled">
    <vt:lpwstr>true</vt:lpwstr>
  </property>
  <property fmtid="{D5CDD505-2E9C-101B-9397-08002B2CF9AE}" pid="3" name="MSIP_Label_c2a21e1e-ea2d-4ee1-8dda-50c584d99024_SetDate">
    <vt:lpwstr>2025-08-21T20:33:16Z</vt:lpwstr>
  </property>
  <property fmtid="{D5CDD505-2E9C-101B-9397-08002B2CF9AE}" pid="4" name="MSIP_Label_c2a21e1e-ea2d-4ee1-8dda-50c584d99024_Method">
    <vt:lpwstr>Standard</vt:lpwstr>
  </property>
  <property fmtid="{D5CDD505-2E9C-101B-9397-08002B2CF9AE}" pid="5" name="MSIP_Label_c2a21e1e-ea2d-4ee1-8dda-50c584d99024_Name">
    <vt:lpwstr>Internal</vt:lpwstr>
  </property>
  <property fmtid="{D5CDD505-2E9C-101B-9397-08002B2CF9AE}" pid="6" name="MSIP_Label_c2a21e1e-ea2d-4ee1-8dda-50c584d99024_SiteId">
    <vt:lpwstr>59ae8427-c05f-4c7d-a4c2-1eebd4616d71</vt:lpwstr>
  </property>
  <property fmtid="{D5CDD505-2E9C-101B-9397-08002B2CF9AE}" pid="7" name="MSIP_Label_c2a21e1e-ea2d-4ee1-8dda-50c584d99024_ActionId">
    <vt:lpwstr>a445b6e5-0110-45ab-88c7-a13dee99e067</vt:lpwstr>
  </property>
  <property fmtid="{D5CDD505-2E9C-101B-9397-08002B2CF9AE}" pid="8" name="MSIP_Label_c2a21e1e-ea2d-4ee1-8dda-50c584d99024_ContentBits">
    <vt:lpwstr>0</vt:lpwstr>
  </property>
  <property fmtid="{D5CDD505-2E9C-101B-9397-08002B2CF9AE}" pid="9" name="MSIP_Label_c2a21e1e-ea2d-4ee1-8dda-50c584d99024_Tag">
    <vt:lpwstr>10, 3, 0, 1</vt:lpwstr>
  </property>
</Properties>
</file>